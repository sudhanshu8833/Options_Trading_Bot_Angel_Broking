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New folder (2)\"/>
    </mc:Choice>
  </mc:AlternateContent>
  <bookViews>
    <workbookView xWindow="-135" yWindow="-135" windowWidth="23310" windowHeight="12630"/>
  </bookViews>
  <sheets>
    <sheet name="Buy Above Zerodha" sheetId="1" r:id="rId1"/>
  </sheets>
  <definedNames>
    <definedName name="_xlnm._FilterDatabase" localSheetId="0" hidden="1">'Buy Above Zerodha'!$I$9:$AS$19</definedName>
  </definedNames>
  <calcPr calcId="162913"/>
</workbook>
</file>

<file path=xl/calcChain.xml><?xml version="1.0" encoding="utf-8"?>
<calcChain xmlns="http://schemas.openxmlformats.org/spreadsheetml/2006/main">
  <c r="AR11" i="1" l="1"/>
  <c r="AS11" i="1"/>
  <c r="AR12" i="1"/>
  <c r="AS12" i="1"/>
  <c r="AR13" i="1"/>
  <c r="AS13" i="1"/>
  <c r="AS14" i="1"/>
  <c r="AS15" i="1"/>
  <c r="AS16" i="1"/>
  <c r="AS17" i="1"/>
  <c r="AS18" i="1"/>
  <c r="AS19" i="1"/>
  <c r="AS10" i="1"/>
  <c r="AR10" i="1"/>
  <c r="Z7" i="1" l="1"/>
  <c r="AR17" i="1" l="1"/>
  <c r="AR16" i="1"/>
  <c r="AR18" i="1" l="1"/>
  <c r="AR14" i="1"/>
  <c r="AR15" i="1"/>
  <c r="AR19" i="1"/>
  <c r="AL14" i="1"/>
  <c r="AL15" i="1"/>
  <c r="AL17" i="1"/>
  <c r="AL16" i="1"/>
</calcChain>
</file>

<file path=xl/sharedStrings.xml><?xml version="1.0" encoding="utf-8"?>
<sst xmlns="http://schemas.openxmlformats.org/spreadsheetml/2006/main" count="109" uniqueCount="46">
  <si>
    <t>LTP</t>
  </si>
  <si>
    <t>ASK-BID</t>
  </si>
  <si>
    <t>S.No.</t>
  </si>
  <si>
    <t>ASK-BID DIFF NOW</t>
  </si>
  <si>
    <t>ASK-BID DIFF</t>
  </si>
  <si>
    <t>BASE FOR PRICE</t>
  </si>
  <si>
    <t>START TIME / PRICE</t>
  </si>
  <si>
    <t>Tolerance Range for price condition only</t>
  </si>
  <si>
    <t>TRADING SYMBOL</t>
  </si>
  <si>
    <t>Base LTP</t>
  </si>
  <si>
    <t>Product</t>
  </si>
  <si>
    <t>Quantity</t>
  </si>
  <si>
    <t>FIRST Trade</t>
  </si>
  <si>
    <t>BUY ABOVE</t>
  </si>
  <si>
    <t>SELL BELOW</t>
  </si>
  <si>
    <t>Mini Stop Loss Move More (Value)</t>
  </si>
  <si>
    <t>Mini StopLoss TSL (Value)</t>
  </si>
  <si>
    <t>TSL IF MOVE MORE THAN in %</t>
  </si>
  <si>
    <t>TSL VALUE %</t>
  </si>
  <si>
    <t>Command Response</t>
  </si>
  <si>
    <t>Message</t>
  </si>
  <si>
    <t>15:30:35</t>
  </si>
  <si>
    <t>Zerodha User Id</t>
  </si>
  <si>
    <t>BUY</t>
  </si>
  <si>
    <t>BASE EXCHANGE</t>
  </si>
  <si>
    <t>TRADING SYMBOL EXCHANGE</t>
  </si>
  <si>
    <t>NFO</t>
  </si>
  <si>
    <t>5150</t>
  </si>
  <si>
    <t xml:space="preserve">ui </t>
  </si>
  <si>
    <t>NIFTY</t>
  </si>
  <si>
    <t>09:16:35</t>
  </si>
  <si>
    <t>NRML</t>
  </si>
  <si>
    <t>SELL</t>
  </si>
  <si>
    <t>NIFTY21JULFUT</t>
  </si>
  <si>
    <t>BANKNIFTY21JULFUT</t>
  </si>
  <si>
    <t>Error</t>
  </si>
  <si>
    <t>Unable to Place Order Markets are closed right now. Use GTT for placing long standing orders instead. [Read more.](https://support.zerodha.com/category/trading-and-markets/gtt/articles/what-is-the-good-till-triggered-gtt-feature) - Error While Placing Order</t>
  </si>
  <si>
    <t>MIS</t>
  </si>
  <si>
    <t>Stopping Thread</t>
  </si>
  <si>
    <t>Stopping The Thread</t>
  </si>
  <si>
    <t>Stopped</t>
  </si>
  <si>
    <t>Stopped Before First Trade</t>
  </si>
  <si>
    <t>Detected r on 13:35:05</t>
  </si>
  <si>
    <t>NIFTY21JUL15850CE</t>
  </si>
  <si>
    <t>NIFTY21JUL15850PE</t>
  </si>
  <si>
    <t>WT1413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</si>
</sst>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49" fontId="0" fillId="0" borderId="0" xfId="0" applyNumberFormat="1"/>
    <xf numFmtId="2" fontId="0" fillId="0" borderId="0" xfId="0" applyNumberFormat="1"/>
    <xf numFmtId="0" fontId="0" fillId="0" borderId="0" xfId="0" applyFill="1"/>
    <xf numFmtId="0" fontId="0" fillId="0" borderId="0" xfId="0" applyFill="1" applyAlignment="1">
      <alignment horizontal="right"/>
    </xf>
    <xf numFmtId="0" fontId="1" fillId="2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0" fillId="2" borderId="1" xfId="0" applyFill="1" applyBorder="1"/>
    <xf numFmtId="2" fontId="0" fillId="3" borderId="1" xfId="0" applyNumberFormat="1" applyFill="1" applyBorder="1"/>
    <xf numFmtId="49" fontId="0" fillId="2" borderId="1" xfId="0" applyNumberFormat="1" applyFill="1" applyBorder="1"/>
    <xf numFmtId="2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0" borderId="1" xfId="0" applyBorder="1"/>
    <xf numFmtId="0" fontId="0" fillId="0" borderId="0" xfId="0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/>
    <xf numFmtId="2" fontId="0" fillId="0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3" borderId="1" xfId="0" applyFill="1" applyBorder="1" applyAlignment="1">
      <alignment horizontal="right" vertical="center" wrapText="1"/>
    </xf>
    <xf numFmtId="1" fontId="0" fillId="2" borderId="1" xfId="0" applyNumberFormat="1" applyFill="1" applyBorder="1"/>
    <xf numFmtId="0" fontId="0" fillId="3" borderId="0" xfId="0" applyFill="1"/>
    <xf numFmtId="0" fontId="1" fillId="0" borderId="0" xfId="0" applyFont="1"/>
    <xf numFmtId="2" fontId="0" fillId="4" borderId="0" xfId="0" applyNumberFormat="1" applyFill="1" applyBorder="1" applyAlignment="1">
      <alignment horizontal="center" vertical="center" wrapText="1"/>
    </xf>
    <xf numFmtId="0" fontId="3" fillId="0" borderId="0" xfId="2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85725</xdr:rowOff>
    </xdr:from>
    <xdr:to>
      <xdr:col>10</xdr:col>
      <xdr:colOff>466725</xdr:colOff>
      <xdr:row>5</xdr:row>
      <xdr:rowOff>104775</xdr:rowOff>
    </xdr:to>
    <xdr:sp macro="[0]!lt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91150" y="657225"/>
          <a:ext cx="1171575" cy="4000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LTP &amp;</a:t>
          </a:r>
          <a:r>
            <a:rPr lang="en-US" sz="1100" b="1" baseline="0"/>
            <a:t> ASK BID DIFF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S19"/>
  <sheetViews>
    <sheetView tabSelected="1" workbookViewId="0">
      <pane xSplit="19" ySplit="9" topLeftCell="U10" activePane="bottomRight" state="frozen"/>
      <selection pane="topRight" activeCell="T1" sqref="T1"/>
      <selection pane="bottomLeft" activeCell="A10" sqref="A10"/>
      <selection pane="bottomRight" activeCell="AD14" sqref="AD14"/>
    </sheetView>
  </sheetViews>
  <sheetFormatPr defaultRowHeight="15" x14ac:dyDescent="0.25"/>
  <cols>
    <col min="1" max="1" width="2.7109375" customWidth="1"/>
    <col min="2" max="2" width="13.42578125" customWidth="1"/>
    <col min="3" max="3" width="2.140625" customWidth="1"/>
    <col min="4" max="4" width="1.140625" customWidth="1"/>
    <col min="5" max="5" width="1.7109375" customWidth="1"/>
    <col min="6" max="6" width="2.140625" customWidth="1"/>
    <col min="7" max="7" width="2.28515625" customWidth="1"/>
    <col min="8" max="8" width="2.42578125" customWidth="1"/>
    <col min="9" max="9" width="3.85546875" customWidth="1"/>
    <col min="10" max="10" width="8.28515625" customWidth="1"/>
    <col min="11" max="11" width="5.5703125" customWidth="1"/>
    <col min="12" max="12" width="3.140625" customWidth="1"/>
    <col min="13" max="13" width="1.85546875" customWidth="1"/>
    <col min="14" max="14" width="15.140625" customWidth="1"/>
    <col min="15" max="15" width="4.28515625" customWidth="1"/>
    <col min="17" max="17" width="4.28515625" customWidth="1"/>
    <col min="18" max="18" width="12.28515625" customWidth="1"/>
    <col min="19" max="19" width="18.85546875" customWidth="1"/>
    <col min="20" max="20" width="3.7109375" customWidth="1"/>
    <col min="21" max="21" width="4" customWidth="1"/>
    <col min="22" max="22" width="6.140625" customWidth="1"/>
    <col min="23" max="24" width="4.7109375" customWidth="1"/>
    <col min="25" max="25" width="6.42578125" customWidth="1"/>
    <col min="26" max="26" width="5.42578125" customWidth="1"/>
    <col min="27" max="27" width="3" customWidth="1"/>
    <col min="28" max="28" width="3.28515625" customWidth="1"/>
    <col min="29" max="29" width="5.28515625" customWidth="1"/>
    <col min="30" max="30" width="7.28515625" customWidth="1"/>
    <col min="31" max="31" width="12.7109375" bestFit="1" customWidth="1"/>
    <col min="32" max="32" width="9.42578125" style="26" customWidth="1"/>
    <col min="33" max="33" width="6.85546875" customWidth="1"/>
    <col min="34" max="34" width="9.28515625" customWidth="1"/>
    <col min="35" max="35" width="8" customWidth="1"/>
    <col min="36" max="36" width="4.140625" customWidth="1"/>
    <col min="37" max="37" width="2.42578125" customWidth="1"/>
    <col min="38" max="38" width="4" style="29" customWidth="1"/>
    <col min="39" max="39" width="6" customWidth="1"/>
    <col min="40" max="40" width="6.7109375" customWidth="1"/>
    <col min="44" max="44" width="19.85546875" customWidth="1"/>
  </cols>
  <sheetData>
    <row r="2" spans="2:45" x14ac:dyDescent="0.25">
      <c r="B2" s="30"/>
      <c r="Z2" s="33"/>
      <c r="AA2" s="33"/>
      <c r="AB2" s="33"/>
    </row>
    <row r="3" spans="2:45" x14ac:dyDescent="0.25">
      <c r="Z3" s="33"/>
      <c r="AA3" s="33"/>
      <c r="AB3" s="33"/>
    </row>
    <row r="4" spans="2:45" x14ac:dyDescent="0.25">
      <c r="B4" s="32"/>
      <c r="Z4" s="33"/>
      <c r="AA4" s="33"/>
      <c r="AB4" s="33"/>
    </row>
    <row r="5" spans="2:45" x14ac:dyDescent="0.25">
      <c r="B5" s="2"/>
      <c r="N5" s="2"/>
      <c r="R5" s="2"/>
      <c r="Z5" s="33"/>
      <c r="AA5" s="33"/>
      <c r="AB5" s="33"/>
      <c r="AE5" s="33"/>
      <c r="AF5" s="33"/>
      <c r="AG5" s="33"/>
    </row>
    <row r="6" spans="2:45" x14ac:dyDescent="0.25">
      <c r="R6" s="2"/>
      <c r="Z6" s="33"/>
      <c r="AA6" s="33"/>
      <c r="AB6" s="33"/>
    </row>
    <row r="7" spans="2:45" x14ac:dyDescent="0.25">
      <c r="B7" s="2"/>
      <c r="I7" s="20"/>
      <c r="J7" s="20"/>
      <c r="K7" s="18"/>
      <c r="L7" s="21"/>
      <c r="M7" s="21"/>
      <c r="N7" s="34"/>
      <c r="O7" s="22"/>
      <c r="P7" s="25">
        <v>15800</v>
      </c>
      <c r="Q7" s="18"/>
      <c r="R7" s="18"/>
      <c r="S7" s="1"/>
      <c r="T7" s="1"/>
      <c r="U7" t="s">
        <v>0</v>
      </c>
      <c r="W7" s="2"/>
      <c r="X7" t="s">
        <v>32</v>
      </c>
      <c r="Y7" s="2"/>
      <c r="Z7">
        <f t="shared" ref="Z7" si="0">J19*W19</f>
        <v>0</v>
      </c>
      <c r="AA7" s="2"/>
      <c r="AD7" s="2"/>
      <c r="AE7" s="3"/>
      <c r="AF7" s="4"/>
    </row>
    <row r="8" spans="2:45" x14ac:dyDescent="0.25">
      <c r="B8" s="2"/>
      <c r="I8" s="20"/>
      <c r="J8" s="20"/>
      <c r="K8" s="18"/>
      <c r="L8" s="21"/>
      <c r="M8" s="21"/>
      <c r="N8" s="34"/>
      <c r="O8" s="22"/>
      <c r="P8" s="13" t="s">
        <v>21</v>
      </c>
      <c r="Q8" s="18"/>
      <c r="R8" s="18"/>
      <c r="S8" s="1"/>
      <c r="T8" s="1"/>
      <c r="U8" t="s">
        <v>1</v>
      </c>
      <c r="W8" s="2"/>
      <c r="X8" t="s">
        <v>23</v>
      </c>
      <c r="Y8" s="2"/>
      <c r="Z8" s="2"/>
      <c r="AA8" s="2"/>
      <c r="AB8" s="2"/>
      <c r="AC8" s="2"/>
      <c r="AD8" s="2"/>
      <c r="AE8" s="3"/>
      <c r="AF8" s="4"/>
    </row>
    <row r="9" spans="2:45" ht="26.25" customHeight="1" x14ac:dyDescent="0.25">
      <c r="I9" s="19" t="s">
        <v>2</v>
      </c>
      <c r="J9" s="6" t="s">
        <v>0</v>
      </c>
      <c r="K9" s="6" t="s">
        <v>3</v>
      </c>
      <c r="L9" s="19" t="s">
        <v>4</v>
      </c>
      <c r="M9" s="19" t="s">
        <v>22</v>
      </c>
      <c r="N9" s="19" t="s">
        <v>5</v>
      </c>
      <c r="O9" s="19" t="s">
        <v>24</v>
      </c>
      <c r="P9" s="7" t="s">
        <v>6</v>
      </c>
      <c r="Q9" s="8" t="s">
        <v>7</v>
      </c>
      <c r="R9" s="9" t="s">
        <v>28</v>
      </c>
      <c r="S9" s="7" t="s">
        <v>8</v>
      </c>
      <c r="T9" s="7" t="s">
        <v>25</v>
      </c>
      <c r="U9" s="5" t="s">
        <v>9</v>
      </c>
      <c r="V9" s="5" t="s">
        <v>10</v>
      </c>
      <c r="W9" s="8" t="s">
        <v>11</v>
      </c>
      <c r="X9" s="5" t="s">
        <v>12</v>
      </c>
      <c r="Y9" s="8" t="s">
        <v>13</v>
      </c>
      <c r="Z9" s="8" t="s">
        <v>14</v>
      </c>
      <c r="AA9" s="8" t="s">
        <v>15</v>
      </c>
      <c r="AB9" s="8" t="s">
        <v>16</v>
      </c>
      <c r="AC9" s="8" t="s">
        <v>17</v>
      </c>
      <c r="AD9" s="8" t="s">
        <v>18</v>
      </c>
      <c r="AE9" s="23" t="s">
        <v>19</v>
      </c>
      <c r="AF9" s="27" t="s">
        <v>20</v>
      </c>
      <c r="AG9" s="10"/>
      <c r="AH9" s="10"/>
      <c r="AS9">
        <v>0</v>
      </c>
    </row>
    <row r="10" spans="2:45" x14ac:dyDescent="0.25">
      <c r="I10" s="11">
        <v>1</v>
      </c>
      <c r="J10" s="12">
        <v>0</v>
      </c>
      <c r="K10" s="12">
        <v>0</v>
      </c>
      <c r="L10" s="11"/>
      <c r="M10" s="24" t="s">
        <v>45</v>
      </c>
      <c r="N10" s="11" t="s">
        <v>33</v>
      </c>
      <c r="O10" s="11" t="s">
        <v>26</v>
      </c>
      <c r="P10" s="13" t="s">
        <v>27</v>
      </c>
      <c r="Q10" s="28">
        <v>50</v>
      </c>
      <c r="R10" s="15" t="s">
        <v>42</v>
      </c>
      <c r="S10" s="11" t="s">
        <v>29</v>
      </c>
      <c r="T10" s="11" t="s">
        <v>26</v>
      </c>
      <c r="U10" s="11"/>
      <c r="V10" s="11"/>
      <c r="W10" s="14"/>
      <c r="X10" s="11"/>
      <c r="Y10" s="14"/>
      <c r="Z10" s="14"/>
      <c r="AA10" s="14"/>
      <c r="AB10" s="14"/>
      <c r="AC10" s="14"/>
      <c r="AD10" s="14"/>
      <c r="AE10" s="15"/>
      <c r="AF10" s="16"/>
      <c r="AG10" s="17"/>
      <c r="AH10" s="17"/>
      <c r="AR10" t="str">
        <f>S10</f>
        <v>NIFTY</v>
      </c>
      <c r="AS10" s="2">
        <f>J10</f>
        <v>0</v>
      </c>
    </row>
    <row r="11" spans="2:45" x14ac:dyDescent="0.25">
      <c r="I11" s="11">
        <v>2</v>
      </c>
      <c r="J11" s="12">
        <v>0</v>
      </c>
      <c r="K11" s="12">
        <v>0</v>
      </c>
      <c r="L11" s="11"/>
      <c r="M11" s="24" t="s">
        <v>45</v>
      </c>
      <c r="N11" s="11" t="s">
        <v>33</v>
      </c>
      <c r="O11" s="11" t="s">
        <v>26</v>
      </c>
      <c r="P11" s="13" t="s">
        <v>21</v>
      </c>
      <c r="Q11" s="28">
        <v>2</v>
      </c>
      <c r="R11" s="15"/>
      <c r="S11" s="11" t="s">
        <v>33</v>
      </c>
      <c r="T11" s="11" t="s">
        <v>26</v>
      </c>
      <c r="U11" s="11"/>
      <c r="V11" s="11"/>
      <c r="W11" s="14"/>
      <c r="X11" s="11"/>
      <c r="Y11" s="14"/>
      <c r="Z11" s="14"/>
      <c r="AA11" s="14"/>
      <c r="AB11" s="14"/>
      <c r="AC11" s="14"/>
      <c r="AD11" s="14"/>
      <c r="AE11" s="15"/>
      <c r="AF11" s="16"/>
      <c r="AG11" s="17"/>
      <c r="AH11" s="17"/>
      <c r="AR11" t="str">
        <f t="shared" ref="AR11:AR19" si="1">S11</f>
        <v>NIFTY21JULFUT</v>
      </c>
      <c r="AS11" s="2">
        <f t="shared" ref="AS11:AS19" si="2">J11</f>
        <v>0</v>
      </c>
    </row>
    <row r="12" spans="2:45" x14ac:dyDescent="0.25">
      <c r="I12" s="11">
        <v>3</v>
      </c>
      <c r="J12" s="12">
        <v>0</v>
      </c>
      <c r="K12" s="12">
        <v>0</v>
      </c>
      <c r="L12" s="11"/>
      <c r="M12" s="24" t="s">
        <v>45</v>
      </c>
      <c r="N12" s="11" t="s">
        <v>33</v>
      </c>
      <c r="O12" s="11" t="s">
        <v>26</v>
      </c>
      <c r="P12" s="13" t="s">
        <v>30</v>
      </c>
      <c r="Q12" s="28">
        <v>1</v>
      </c>
      <c r="R12" s="15"/>
      <c r="S12" s="11" t="s">
        <v>34</v>
      </c>
      <c r="T12" s="11" t="s">
        <v>26</v>
      </c>
      <c r="U12" s="11"/>
      <c r="V12" s="11"/>
      <c r="W12" s="14"/>
      <c r="X12" s="11"/>
      <c r="Y12" s="14"/>
      <c r="Z12" s="14"/>
      <c r="AA12" s="14"/>
      <c r="AB12" s="14"/>
      <c r="AC12" s="14"/>
      <c r="AD12" s="14"/>
      <c r="AE12" s="15"/>
      <c r="AF12" s="16"/>
      <c r="AG12" s="17"/>
      <c r="AH12" s="17"/>
      <c r="AR12" t="str">
        <f t="shared" si="1"/>
        <v>BANKNIFTY21JULFUT</v>
      </c>
      <c r="AS12" s="2">
        <f t="shared" si="2"/>
        <v>0</v>
      </c>
    </row>
    <row r="13" spans="2:45" x14ac:dyDescent="0.25">
      <c r="I13" s="11">
        <v>4</v>
      </c>
      <c r="J13" s="12"/>
      <c r="K13" s="12"/>
      <c r="L13" s="11"/>
      <c r="M13" s="24" t="s">
        <v>45</v>
      </c>
      <c r="N13" s="11"/>
      <c r="O13" s="11"/>
      <c r="P13" s="13"/>
      <c r="Q13" s="28"/>
      <c r="R13" s="15"/>
      <c r="S13" s="11"/>
      <c r="T13" s="11"/>
      <c r="U13" s="11"/>
      <c r="V13" s="11"/>
      <c r="W13" s="14"/>
      <c r="X13" s="11"/>
      <c r="Y13" s="14"/>
      <c r="Z13" s="14"/>
      <c r="AA13" s="14"/>
      <c r="AB13" s="14"/>
      <c r="AC13" s="14"/>
      <c r="AD13" s="14"/>
      <c r="AE13" s="15"/>
      <c r="AF13" s="16"/>
      <c r="AG13" s="17"/>
      <c r="AH13" s="17"/>
      <c r="AR13">
        <f t="shared" si="1"/>
        <v>0</v>
      </c>
      <c r="AS13" s="2">
        <f t="shared" si="2"/>
        <v>0</v>
      </c>
    </row>
    <row r="14" spans="2:45" x14ac:dyDescent="0.25">
      <c r="B14" s="2"/>
      <c r="I14" s="11">
        <v>5</v>
      </c>
      <c r="J14" s="12">
        <v>0</v>
      </c>
      <c r="K14" s="12">
        <v>0</v>
      </c>
      <c r="L14" s="11">
        <v>3</v>
      </c>
      <c r="M14" s="24" t="s">
        <v>45</v>
      </c>
      <c r="N14" s="11" t="s">
        <v>33</v>
      </c>
      <c r="O14" s="11" t="s">
        <v>26</v>
      </c>
      <c r="P14" s="31">
        <v>15826</v>
      </c>
      <c r="Q14" s="11">
        <v>10</v>
      </c>
      <c r="R14" s="15"/>
      <c r="S14" s="11" t="s">
        <v>43</v>
      </c>
      <c r="T14" s="11" t="s">
        <v>26</v>
      </c>
      <c r="U14" s="11" t="s">
        <v>1</v>
      </c>
      <c r="V14" s="11" t="s">
        <v>37</v>
      </c>
      <c r="W14" s="11">
        <v>100</v>
      </c>
      <c r="X14" s="11" t="s">
        <v>32</v>
      </c>
      <c r="Y14" s="11">
        <v>1000</v>
      </c>
      <c r="Z14" s="11">
        <v>50</v>
      </c>
      <c r="AA14" s="11">
        <v>1</v>
      </c>
      <c r="AB14" s="11">
        <v>1</v>
      </c>
      <c r="AC14" s="11">
        <v>1060</v>
      </c>
      <c r="AD14" s="11">
        <v>1055</v>
      </c>
      <c r="AE14" s="15" t="s">
        <v>40</v>
      </c>
      <c r="AF14" s="26" t="s">
        <v>41</v>
      </c>
      <c r="AG14">
        <v>1000</v>
      </c>
      <c r="AH14">
        <v>0</v>
      </c>
      <c r="AI14">
        <v>10600</v>
      </c>
      <c r="AJ14">
        <v>10550</v>
      </c>
      <c r="AL14" s="29">
        <f>AM14-AG14</f>
        <v>-816.35</v>
      </c>
      <c r="AM14">
        <v>183.65</v>
      </c>
      <c r="AN14">
        <v>180.65</v>
      </c>
      <c r="AR14" t="str">
        <f t="shared" si="1"/>
        <v>NIFTY21JUL15850CE</v>
      </c>
      <c r="AS14" s="2">
        <f t="shared" si="2"/>
        <v>0</v>
      </c>
    </row>
    <row r="15" spans="2:45" x14ac:dyDescent="0.25">
      <c r="B15" s="2"/>
      <c r="I15" s="11">
        <v>6</v>
      </c>
      <c r="J15" s="12">
        <v>0</v>
      </c>
      <c r="K15" s="12">
        <v>0</v>
      </c>
      <c r="L15" s="11">
        <v>3</v>
      </c>
      <c r="M15" s="24" t="s">
        <v>45</v>
      </c>
      <c r="N15" s="11" t="s">
        <v>33</v>
      </c>
      <c r="O15" s="11" t="s">
        <v>26</v>
      </c>
      <c r="P15" s="31">
        <v>15826</v>
      </c>
      <c r="Q15" s="11">
        <v>50</v>
      </c>
      <c r="R15" s="15"/>
      <c r="S15" s="11" t="s">
        <v>44</v>
      </c>
      <c r="T15" s="11" t="s">
        <v>26</v>
      </c>
      <c r="U15" s="11" t="s">
        <v>1</v>
      </c>
      <c r="V15" s="11" t="s">
        <v>37</v>
      </c>
      <c r="W15" s="11">
        <v>100</v>
      </c>
      <c r="X15" s="11" t="s">
        <v>32</v>
      </c>
      <c r="Y15" s="11">
        <v>1000</v>
      </c>
      <c r="Z15" s="11">
        <v>50</v>
      </c>
      <c r="AA15" s="11">
        <v>1</v>
      </c>
      <c r="AB15" s="11">
        <v>1</v>
      </c>
      <c r="AC15" s="11">
        <v>1060</v>
      </c>
      <c r="AD15" s="11">
        <v>1055</v>
      </c>
      <c r="AE15" s="15" t="s">
        <v>40</v>
      </c>
      <c r="AF15" s="26" t="s">
        <v>41</v>
      </c>
      <c r="AG15">
        <v>1000</v>
      </c>
      <c r="AH15">
        <v>0</v>
      </c>
      <c r="AI15">
        <v>10600</v>
      </c>
      <c r="AJ15">
        <v>10550</v>
      </c>
      <c r="AL15" s="29">
        <f>AM15-AG15</f>
        <v>-889.3</v>
      </c>
      <c r="AM15">
        <v>110.7</v>
      </c>
      <c r="AN15">
        <v>107.7</v>
      </c>
      <c r="AR15" t="str">
        <f t="shared" si="1"/>
        <v>NIFTY21JUL15850PE</v>
      </c>
      <c r="AS15" s="2">
        <f t="shared" si="2"/>
        <v>0</v>
      </c>
    </row>
    <row r="16" spans="2:45" x14ac:dyDescent="0.25">
      <c r="B16" s="2"/>
      <c r="I16" s="11">
        <v>7</v>
      </c>
      <c r="J16" s="12">
        <v>0</v>
      </c>
      <c r="K16" s="12">
        <v>0</v>
      </c>
      <c r="L16" s="11">
        <v>3</v>
      </c>
      <c r="M16" s="24" t="s">
        <v>45</v>
      </c>
      <c r="N16" s="11" t="s">
        <v>33</v>
      </c>
      <c r="O16" s="11" t="s">
        <v>26</v>
      </c>
      <c r="P16" s="31">
        <v>15826</v>
      </c>
      <c r="Q16" s="11">
        <v>50</v>
      </c>
      <c r="R16" s="15"/>
      <c r="S16" s="11" t="s">
        <v>43</v>
      </c>
      <c r="T16" s="11" t="s">
        <v>26</v>
      </c>
      <c r="U16" s="11" t="s">
        <v>1</v>
      </c>
      <c r="V16" s="11" t="s">
        <v>31</v>
      </c>
      <c r="W16" s="11">
        <v>100</v>
      </c>
      <c r="X16" s="11" t="s">
        <v>23</v>
      </c>
      <c r="Y16" s="11">
        <v>100</v>
      </c>
      <c r="Z16" s="11">
        <v>1500</v>
      </c>
      <c r="AA16" s="11">
        <v>1</v>
      </c>
      <c r="AB16" s="11">
        <v>1</v>
      </c>
      <c r="AC16" s="11">
        <v>1060</v>
      </c>
      <c r="AD16" s="11">
        <v>1055</v>
      </c>
      <c r="AE16" s="15" t="s">
        <v>35</v>
      </c>
      <c r="AF16" s="26" t="s">
        <v>36</v>
      </c>
      <c r="AG16">
        <v>0</v>
      </c>
      <c r="AH16">
        <v>-1500</v>
      </c>
      <c r="AI16">
        <v>-15900</v>
      </c>
      <c r="AJ16">
        <v>-15825</v>
      </c>
      <c r="AL16" s="29">
        <f t="shared" ref="AL16:AL17" si="3">AM16-AG16</f>
        <v>91.8</v>
      </c>
      <c r="AM16">
        <v>91.8</v>
      </c>
      <c r="AN16">
        <v>88.8</v>
      </c>
      <c r="AR16" t="str">
        <f t="shared" si="1"/>
        <v>NIFTY21JUL15850CE</v>
      </c>
      <c r="AS16" s="2">
        <f t="shared" si="2"/>
        <v>0</v>
      </c>
    </row>
    <row r="17" spans="2:45" x14ac:dyDescent="0.25">
      <c r="B17" s="2"/>
      <c r="I17" s="11">
        <v>8</v>
      </c>
      <c r="J17" s="12">
        <v>0</v>
      </c>
      <c r="K17" s="12">
        <v>0</v>
      </c>
      <c r="L17" s="11">
        <v>3</v>
      </c>
      <c r="M17" s="24" t="s">
        <v>45</v>
      </c>
      <c r="N17" s="11" t="s">
        <v>33</v>
      </c>
      <c r="O17" s="11" t="s">
        <v>26</v>
      </c>
      <c r="P17" s="31">
        <v>15826</v>
      </c>
      <c r="Q17" s="11">
        <v>50</v>
      </c>
      <c r="R17" s="15"/>
      <c r="S17" s="11" t="s">
        <v>44</v>
      </c>
      <c r="T17" s="11" t="s">
        <v>26</v>
      </c>
      <c r="U17" s="11" t="s">
        <v>1</v>
      </c>
      <c r="V17" s="11" t="s">
        <v>31</v>
      </c>
      <c r="W17" s="11">
        <v>100</v>
      </c>
      <c r="X17" s="11" t="s">
        <v>23</v>
      </c>
      <c r="Y17" s="11">
        <v>100</v>
      </c>
      <c r="Z17" s="11">
        <v>1500</v>
      </c>
      <c r="AA17" s="11">
        <v>1</v>
      </c>
      <c r="AB17" s="11">
        <v>1</v>
      </c>
      <c r="AC17" s="11">
        <v>1060</v>
      </c>
      <c r="AD17" s="11">
        <v>1055</v>
      </c>
      <c r="AE17" s="15" t="s">
        <v>35</v>
      </c>
      <c r="AF17" s="26" t="s">
        <v>36</v>
      </c>
      <c r="AG17">
        <v>0</v>
      </c>
      <c r="AH17">
        <v>-1500</v>
      </c>
      <c r="AI17">
        <v>-15900</v>
      </c>
      <c r="AJ17">
        <v>-15825</v>
      </c>
      <c r="AL17" s="29">
        <f t="shared" si="3"/>
        <v>97.75</v>
      </c>
      <c r="AM17">
        <v>97.75</v>
      </c>
      <c r="AN17">
        <v>94.75</v>
      </c>
      <c r="AR17" t="str">
        <f t="shared" si="1"/>
        <v>NIFTY21JUL15850PE</v>
      </c>
      <c r="AS17" s="2">
        <f t="shared" si="2"/>
        <v>0</v>
      </c>
    </row>
    <row r="18" spans="2:45" x14ac:dyDescent="0.25">
      <c r="B18" s="2"/>
      <c r="I18" s="11">
        <v>9</v>
      </c>
      <c r="J18" s="12">
        <v>0</v>
      </c>
      <c r="K18" s="12">
        <v>0</v>
      </c>
      <c r="L18" s="11">
        <v>3</v>
      </c>
      <c r="M18" s="24" t="s">
        <v>45</v>
      </c>
      <c r="N18" s="11" t="s">
        <v>33</v>
      </c>
      <c r="O18" s="11" t="s">
        <v>26</v>
      </c>
      <c r="P18" s="31">
        <v>15826</v>
      </c>
      <c r="Q18" s="11">
        <v>50</v>
      </c>
      <c r="R18" s="15">
        <v>0</v>
      </c>
      <c r="S18" s="11" t="s">
        <v>43</v>
      </c>
      <c r="T18" s="11" t="s">
        <v>26</v>
      </c>
      <c r="U18" s="11" t="s">
        <v>1</v>
      </c>
      <c r="V18" s="11" t="s">
        <v>37</v>
      </c>
      <c r="W18" s="11">
        <v>100</v>
      </c>
      <c r="X18" s="11" t="s">
        <v>32</v>
      </c>
      <c r="Y18" s="11">
        <v>1000</v>
      </c>
      <c r="Z18" s="11">
        <v>200</v>
      </c>
      <c r="AA18" s="11">
        <v>1</v>
      </c>
      <c r="AB18" s="11">
        <v>1</v>
      </c>
      <c r="AC18" s="11">
        <v>1060</v>
      </c>
      <c r="AD18" s="11">
        <v>1055</v>
      </c>
      <c r="AE18" s="15" t="s">
        <v>40</v>
      </c>
      <c r="AF18" s="26" t="s">
        <v>41</v>
      </c>
      <c r="AG18">
        <v>1000</v>
      </c>
      <c r="AH18">
        <v>0</v>
      </c>
      <c r="AI18">
        <v>10600</v>
      </c>
      <c r="AJ18">
        <v>10550</v>
      </c>
      <c r="AR18" t="str">
        <f t="shared" si="1"/>
        <v>NIFTY21JUL15850CE</v>
      </c>
      <c r="AS18" s="2">
        <f t="shared" si="2"/>
        <v>0</v>
      </c>
    </row>
    <row r="19" spans="2:45" x14ac:dyDescent="0.25">
      <c r="B19" s="2"/>
      <c r="I19" s="11">
        <v>10</v>
      </c>
      <c r="J19" s="12">
        <v>0</v>
      </c>
      <c r="K19" s="12">
        <v>0</v>
      </c>
      <c r="L19" s="11">
        <v>3</v>
      </c>
      <c r="M19" s="24" t="s">
        <v>45</v>
      </c>
      <c r="N19" s="11" t="s">
        <v>33</v>
      </c>
      <c r="O19" s="11" t="s">
        <v>26</v>
      </c>
      <c r="P19" s="31">
        <v>15826</v>
      </c>
      <c r="Q19" s="11">
        <v>50</v>
      </c>
      <c r="R19" s="15"/>
      <c r="S19" s="11" t="s">
        <v>44</v>
      </c>
      <c r="T19" s="11" t="s">
        <v>26</v>
      </c>
      <c r="U19" s="11" t="s">
        <v>1</v>
      </c>
      <c r="V19" s="11" t="s">
        <v>37</v>
      </c>
      <c r="W19" s="11">
        <v>100</v>
      </c>
      <c r="X19" s="11" t="s">
        <v>32</v>
      </c>
      <c r="Y19" s="11">
        <v>1000</v>
      </c>
      <c r="Z19" s="11">
        <v>200</v>
      </c>
      <c r="AA19" s="11">
        <v>1</v>
      </c>
      <c r="AB19" s="11">
        <v>1</v>
      </c>
      <c r="AC19" s="11">
        <v>1060</v>
      </c>
      <c r="AD19" s="11">
        <v>1055</v>
      </c>
      <c r="AE19" s="15" t="s">
        <v>38</v>
      </c>
      <c r="AF19" s="26" t="s">
        <v>39</v>
      </c>
      <c r="AR19" t="str">
        <f t="shared" si="1"/>
        <v>NIFTY21JUL15850PE</v>
      </c>
      <c r="AS19" s="2">
        <f t="shared" si="2"/>
        <v>0</v>
      </c>
    </row>
  </sheetData>
  <autoFilter ref="I9:AS19"/>
  <mergeCells count="7">
    <mergeCell ref="AE5:AG5"/>
    <mergeCell ref="N7:N8"/>
    <mergeCell ref="Z2:AB2"/>
    <mergeCell ref="Z3:AB3"/>
    <mergeCell ref="Z4:AB4"/>
    <mergeCell ref="Z5:AB5"/>
    <mergeCell ref="Z6:AB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Buy Above Zerodha</vt:lpstr>
    </vt:vector>
  </TitlesOfParts>
  <Company>Rudraksh Organisation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Rudrash</dc:creator>
  <cp:lastModifiedBy>XLTOOL - DESKTOP-D0QBUQC</cp:lastModifiedBy>
  <dcterms:created xsi:type="dcterms:W3CDTF">2021-06-07T01:00:07Z</dcterms:created>
  <dcterms:modified xsi:type="dcterms:W3CDTF">2021-07-29T03:04:38Z</dcterms:modified>
</cp:coreProperties>
</file>